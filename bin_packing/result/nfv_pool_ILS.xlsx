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work\NFV_POOL_TESTING\result\"/>
    </mc:Choice>
  </mc:AlternateContent>
  <xr:revisionPtr revIDLastSave="0" documentId="13_ncr:1_{74E2539C-B11E-487D-9ADE-EEC6B645181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8" i="1" l="1"/>
  <c r="N16" i="1"/>
  <c r="N17" i="1"/>
  <c r="N18" i="1"/>
  <c r="N19" i="1"/>
  <c r="N14" i="1"/>
  <c r="N15" i="1"/>
  <c r="N13" i="1"/>
  <c r="M15" i="1"/>
  <c r="M13" i="1"/>
</calcChain>
</file>

<file path=xl/sharedStrings.xml><?xml version="1.0" encoding="utf-8"?>
<sst xmlns="http://schemas.openxmlformats.org/spreadsheetml/2006/main" count="112" uniqueCount="29">
  <si>
    <t>chess</t>
    <phoneticPr fontId="1" type="noConversion"/>
  </si>
  <si>
    <t>array_size</t>
    <phoneticPr fontId="1" type="noConversion"/>
  </si>
  <si>
    <t>(56,56,56)</t>
    <phoneticPr fontId="1" type="noConversion"/>
  </si>
  <si>
    <t>pieces_type_N</t>
    <phoneticPr fontId="1" type="noConversion"/>
  </si>
  <si>
    <t>pieces_N</t>
    <phoneticPr fontId="1" type="noConversion"/>
  </si>
  <si>
    <t>dataset</t>
    <phoneticPr fontId="1" type="noConversion"/>
  </si>
  <si>
    <t>-</t>
    <phoneticPr fontId="1" type="noConversion"/>
  </si>
  <si>
    <t>use_nfv_pool</t>
    <phoneticPr fontId="1" type="noConversion"/>
  </si>
  <si>
    <t>ALG</t>
    <phoneticPr fontId="1" type="noConversion"/>
  </si>
  <si>
    <t>ILS</t>
    <phoneticPr fontId="1" type="noConversion"/>
  </si>
  <si>
    <t>iter_limit</t>
    <phoneticPr fontId="1" type="noConversion"/>
  </si>
  <si>
    <t>amplifier</t>
    <phoneticPr fontId="1" type="noConversion"/>
  </si>
  <si>
    <t>best_N</t>
    <phoneticPr fontId="1" type="noConversion"/>
  </si>
  <si>
    <t>best_U_star</t>
    <phoneticPr fontId="1" type="noConversion"/>
  </si>
  <si>
    <t>origin_N</t>
    <phoneticPr fontId="1" type="noConversion"/>
  </si>
  <si>
    <t>origin_U_star</t>
  </si>
  <si>
    <t xml:space="preserve"> U improve (%)</t>
    <phoneticPr fontId="1" type="noConversion"/>
  </si>
  <si>
    <t>U_star improve (%)</t>
    <phoneticPr fontId="1" type="noConversion"/>
  </si>
  <si>
    <t>T_overall(s)</t>
    <phoneticPr fontId="1" type="noConversion"/>
  </si>
  <si>
    <t>T_fixed_CA(s)</t>
    <phoneticPr fontId="1" type="noConversion"/>
  </si>
  <si>
    <t>0.303502</t>
    <phoneticPr fontId="1" type="noConversion"/>
  </si>
  <si>
    <t>0.296693</t>
    <phoneticPr fontId="1" type="noConversion"/>
  </si>
  <si>
    <t>0.299473</t>
    <phoneticPr fontId="1" type="noConversion"/>
  </si>
  <si>
    <t>7180.430</t>
    <phoneticPr fontId="1" type="noConversion"/>
  </si>
  <si>
    <t>9701.030</t>
    <phoneticPr fontId="1" type="noConversion"/>
  </si>
  <si>
    <t>Time of nfv&amp;ifv(profiling)</t>
    <phoneticPr fontId="1" type="noConversion"/>
  </si>
  <si>
    <t>T_fixed_CA_improved (s)</t>
    <phoneticPr fontId="1" type="noConversion"/>
  </si>
  <si>
    <t>T_ILS_improved (s)</t>
    <phoneticPr fontId="1" type="noConversion"/>
  </si>
  <si>
    <t>T_ILS_100 iterations(s)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</si>
</sst>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0" applyFont="1" applyAlignment="1">
      <alignment horizontal="right"/>
    </xf>
    <xf numFmtId="0" fontId="0" fillId="0" borderId="5" xfId="0" applyBorder="1" applyAlignment="1">
      <alignment horizontal="right"/>
    </xf>
    <xf numFmtId="0" fontId="0" fillId="0" borderId="0" xfId="0" applyAlignment="1">
      <alignment vertical="center"/>
    </xf>
    <xf numFmtId="0" fontId="0" fillId="0" borderId="0" xfId="0" quotePrefix="1" applyAlignment="1">
      <alignment horizontal="righ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quotePrefix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4"/>
  <sheetViews>
    <sheetView tabSelected="1" zoomScale="115" zoomScaleNormal="115" workbookViewId="0">
      <selection activeCell="S19" sqref="S19"/>
    </sheetView>
  </sheetViews>
  <sheetFormatPr defaultRowHeight="14.25" x14ac:dyDescent="0.2"/>
  <cols>
    <col min="1" max="2" width="13.125" customWidth="1"/>
    <col min="3" max="3" width="16.375" customWidth="1"/>
    <col min="4" max="5" width="18" customWidth="1"/>
    <col min="6" max="6" width="20.125" customWidth="1"/>
    <col min="7" max="14" width="24.5" customWidth="1"/>
    <col min="15" max="15" width="25.375" customWidth="1"/>
    <col min="16" max="16" width="17.875" customWidth="1"/>
    <col min="17" max="17" width="24" customWidth="1"/>
    <col min="18" max="18" width="30.875" customWidth="1"/>
    <col min="19" max="19" width="22.375" customWidth="1"/>
    <col min="20" max="20" width="26.5" customWidth="1"/>
    <col min="21" max="21" width="22.5" customWidth="1"/>
    <col min="22" max="22" width="6.875" customWidth="1"/>
    <col min="23" max="23" width="13.75" customWidth="1"/>
    <col min="24" max="24" width="57.25" customWidth="1"/>
  </cols>
  <sheetData>
    <row r="1" spans="1:19" x14ac:dyDescent="0.2">
      <c r="A1" s="3" t="s">
        <v>5</v>
      </c>
      <c r="B1" s="4" t="s">
        <v>8</v>
      </c>
      <c r="C1" s="4" t="s">
        <v>1</v>
      </c>
      <c r="D1" s="4" t="s">
        <v>3</v>
      </c>
      <c r="E1" s="4" t="s">
        <v>11</v>
      </c>
      <c r="F1" s="4" t="s">
        <v>4</v>
      </c>
      <c r="G1" s="4" t="s">
        <v>7</v>
      </c>
      <c r="H1" s="4" t="s">
        <v>10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5" t="s">
        <v>18</v>
      </c>
      <c r="P1" s="2" t="s">
        <v>19</v>
      </c>
      <c r="Q1" s="2" t="s">
        <v>25</v>
      </c>
      <c r="R1" s="2" t="s">
        <v>26</v>
      </c>
      <c r="S1" s="2" t="s">
        <v>27</v>
      </c>
    </row>
    <row r="2" spans="1:19" x14ac:dyDescent="0.2">
      <c r="A2" s="6" t="s">
        <v>0</v>
      </c>
      <c r="B2" s="2" t="s">
        <v>9</v>
      </c>
      <c r="C2" s="2" t="s">
        <v>2</v>
      </c>
      <c r="D2" s="2">
        <v>6</v>
      </c>
      <c r="E2" s="2">
        <v>1</v>
      </c>
      <c r="F2" s="2">
        <v>32</v>
      </c>
      <c r="G2" s="2" t="b">
        <v>0</v>
      </c>
      <c r="H2" s="2">
        <v>200</v>
      </c>
      <c r="I2" s="2">
        <v>3</v>
      </c>
      <c r="J2" s="2">
        <v>0.323407</v>
      </c>
      <c r="K2" s="2">
        <v>3</v>
      </c>
      <c r="L2" s="2">
        <v>0.28838200000000003</v>
      </c>
      <c r="M2" s="2">
        <v>0</v>
      </c>
      <c r="N2" s="2">
        <v>12.145445</v>
      </c>
      <c r="O2" s="14">
        <v>452.089</v>
      </c>
      <c r="P2" s="14">
        <v>37.362000000000002</v>
      </c>
      <c r="Q2" s="2">
        <v>26.935099999999998</v>
      </c>
    </row>
    <row r="3" spans="1:19" x14ac:dyDescent="0.2">
      <c r="A3" s="6" t="s">
        <v>0</v>
      </c>
      <c r="B3" s="2" t="s">
        <v>9</v>
      </c>
      <c r="C3" s="2" t="s">
        <v>2</v>
      </c>
      <c r="D3" s="2">
        <v>6</v>
      </c>
      <c r="E3" s="2">
        <v>2</v>
      </c>
      <c r="F3" s="2">
        <v>64</v>
      </c>
      <c r="G3" s="2" t="b">
        <v>0</v>
      </c>
      <c r="H3" s="2">
        <v>200</v>
      </c>
      <c r="I3" s="2">
        <v>5</v>
      </c>
      <c r="J3" s="2">
        <v>0.298286</v>
      </c>
      <c r="K3" s="2">
        <v>6</v>
      </c>
      <c r="L3" s="2">
        <v>0.27757700000000002</v>
      </c>
      <c r="M3" s="2">
        <v>20</v>
      </c>
      <c r="N3" s="2">
        <v>7.4604590000000002</v>
      </c>
      <c r="O3" s="14">
        <v>1217.1690000000001</v>
      </c>
      <c r="P3" s="14">
        <v>80.436000000000007</v>
      </c>
      <c r="Q3" s="2">
        <v>75.204800000000006</v>
      </c>
    </row>
    <row r="4" spans="1:19" x14ac:dyDescent="0.2">
      <c r="A4" s="6" t="s">
        <v>0</v>
      </c>
      <c r="B4" s="2" t="s">
        <v>9</v>
      </c>
      <c r="C4" s="2" t="s">
        <v>2</v>
      </c>
      <c r="D4" s="2">
        <v>6</v>
      </c>
      <c r="E4" s="2">
        <v>3</v>
      </c>
      <c r="F4" s="2">
        <v>96</v>
      </c>
      <c r="G4" s="2" t="b">
        <v>0</v>
      </c>
      <c r="H4" s="2">
        <v>200</v>
      </c>
      <c r="I4" s="2">
        <v>8</v>
      </c>
      <c r="J4" s="2">
        <v>0.30191899999999999</v>
      </c>
      <c r="K4" s="2">
        <v>8</v>
      </c>
      <c r="L4" s="2">
        <v>0.30030000000000001</v>
      </c>
      <c r="M4" s="2">
        <v>0</v>
      </c>
      <c r="N4" s="2">
        <v>0.53932999999999998</v>
      </c>
      <c r="O4" s="14">
        <v>2300.8539999999998</v>
      </c>
      <c r="P4" s="14">
        <v>145.5</v>
      </c>
      <c r="Q4" s="2">
        <v>153.77500000000001</v>
      </c>
    </row>
    <row r="5" spans="1:19" x14ac:dyDescent="0.2">
      <c r="A5" s="6" t="s">
        <v>0</v>
      </c>
      <c r="B5" s="2" t="s">
        <v>9</v>
      </c>
      <c r="C5" s="2" t="s">
        <v>2</v>
      </c>
      <c r="D5" s="2">
        <v>6</v>
      </c>
      <c r="E5" s="2">
        <v>4</v>
      </c>
      <c r="F5" s="2">
        <v>128</v>
      </c>
      <c r="G5" s="2" t="b">
        <v>0</v>
      </c>
      <c r="H5" s="2">
        <v>200</v>
      </c>
      <c r="I5" s="2">
        <v>10</v>
      </c>
      <c r="J5" s="2">
        <v>0.28930899999999998</v>
      </c>
      <c r="K5" s="2">
        <v>10</v>
      </c>
      <c r="L5" s="2">
        <v>0.28512900000000002</v>
      </c>
      <c r="M5" s="2">
        <v>0</v>
      </c>
      <c r="N5" s="2">
        <v>1.466075</v>
      </c>
      <c r="O5" s="14">
        <v>3788.84</v>
      </c>
      <c r="P5" s="14">
        <v>241.69399999999999</v>
      </c>
      <c r="Q5" s="2">
        <v>241.34399999999999</v>
      </c>
    </row>
    <row r="6" spans="1:19" x14ac:dyDescent="0.2">
      <c r="A6" s="6" t="s">
        <v>0</v>
      </c>
      <c r="B6" s="2" t="s">
        <v>9</v>
      </c>
      <c r="C6" s="2" t="s">
        <v>2</v>
      </c>
      <c r="D6" s="2">
        <v>6</v>
      </c>
      <c r="E6" s="2">
        <v>5</v>
      </c>
      <c r="F6" s="2">
        <v>160</v>
      </c>
      <c r="G6" s="2" t="b">
        <v>0</v>
      </c>
      <c r="H6" s="2">
        <v>200</v>
      </c>
      <c r="I6" s="9">
        <v>12</v>
      </c>
      <c r="J6" s="10" t="s">
        <v>20</v>
      </c>
      <c r="K6" s="11">
        <v>12</v>
      </c>
      <c r="L6" s="10" t="s">
        <v>20</v>
      </c>
      <c r="M6" s="9">
        <v>0</v>
      </c>
      <c r="N6" s="9">
        <v>0</v>
      </c>
      <c r="O6" s="14">
        <v>4893.2960000000003</v>
      </c>
      <c r="P6" s="14">
        <v>328.91800000000001</v>
      </c>
      <c r="Q6" s="2">
        <v>368.28300000000002</v>
      </c>
    </row>
    <row r="7" spans="1:19" x14ac:dyDescent="0.2">
      <c r="A7" s="6" t="s">
        <v>0</v>
      </c>
      <c r="B7" s="2" t="s">
        <v>9</v>
      </c>
      <c r="C7" s="2" t="s">
        <v>2</v>
      </c>
      <c r="D7" s="2">
        <v>6</v>
      </c>
      <c r="E7" s="2">
        <v>6</v>
      </c>
      <c r="F7" s="2">
        <v>192</v>
      </c>
      <c r="G7" s="2" t="b">
        <v>0</v>
      </c>
      <c r="H7" s="2">
        <v>200</v>
      </c>
      <c r="I7" s="9">
        <v>15</v>
      </c>
      <c r="J7" s="10" t="s">
        <v>21</v>
      </c>
      <c r="K7" s="11">
        <v>15</v>
      </c>
      <c r="L7" s="10" t="s">
        <v>21</v>
      </c>
      <c r="M7" s="9">
        <v>0</v>
      </c>
      <c r="N7" s="9">
        <v>0</v>
      </c>
      <c r="O7" s="15" t="s">
        <v>23</v>
      </c>
      <c r="P7" s="14">
        <v>434.43799999999999</v>
      </c>
      <c r="Q7" s="2">
        <v>522.11199999999997</v>
      </c>
    </row>
    <row r="8" spans="1:19" x14ac:dyDescent="0.2">
      <c r="A8" s="6" t="s">
        <v>0</v>
      </c>
      <c r="B8" s="2" t="s">
        <v>9</v>
      </c>
      <c r="C8" s="2" t="s">
        <v>2</v>
      </c>
      <c r="D8" s="2">
        <v>6</v>
      </c>
      <c r="E8" s="2">
        <v>7</v>
      </c>
      <c r="F8" s="2">
        <v>224</v>
      </c>
      <c r="G8" s="2" t="b">
        <v>0</v>
      </c>
      <c r="H8" s="2">
        <v>200</v>
      </c>
      <c r="I8" s="9">
        <v>17</v>
      </c>
      <c r="J8" s="10" t="s">
        <v>22</v>
      </c>
      <c r="K8" s="11">
        <v>17</v>
      </c>
      <c r="L8" s="10" t="s">
        <v>22</v>
      </c>
      <c r="M8" s="9">
        <v>0</v>
      </c>
      <c r="N8" s="9">
        <v>0</v>
      </c>
      <c r="O8" s="15" t="s">
        <v>24</v>
      </c>
      <c r="P8" s="14">
        <v>590.80600000000004</v>
      </c>
      <c r="Q8" s="2">
        <v>738.09900000000005</v>
      </c>
    </row>
    <row r="9" spans="1:19" x14ac:dyDescent="0.2">
      <c r="A9" s="6" t="s">
        <v>0</v>
      </c>
      <c r="B9" s="2" t="s">
        <v>9</v>
      </c>
      <c r="C9" s="2" t="s">
        <v>2</v>
      </c>
      <c r="D9" s="2">
        <v>6</v>
      </c>
      <c r="E9" s="2">
        <v>8</v>
      </c>
      <c r="F9" s="2">
        <v>256</v>
      </c>
      <c r="G9" s="2" t="b">
        <v>0</v>
      </c>
      <c r="H9" s="2">
        <v>200</v>
      </c>
      <c r="K9" s="2">
        <v>19</v>
      </c>
      <c r="L9" s="2">
        <v>0.29988500000000001</v>
      </c>
      <c r="M9" s="2"/>
      <c r="N9" s="2"/>
      <c r="O9" s="2" t="s">
        <v>6</v>
      </c>
      <c r="P9" s="14">
        <v>731.721</v>
      </c>
      <c r="Q9" s="2">
        <v>960.38300000000004</v>
      </c>
    </row>
    <row r="10" spans="1:19" x14ac:dyDescent="0.2">
      <c r="A10" s="6" t="s">
        <v>0</v>
      </c>
      <c r="B10" s="2" t="s">
        <v>9</v>
      </c>
      <c r="C10" s="2" t="s">
        <v>2</v>
      </c>
      <c r="D10" s="2">
        <v>6</v>
      </c>
      <c r="E10" s="2">
        <v>10</v>
      </c>
      <c r="F10" s="2">
        <v>320</v>
      </c>
      <c r="G10" s="2" t="b">
        <v>0</v>
      </c>
      <c r="H10" s="2">
        <v>200</v>
      </c>
      <c r="I10" s="2"/>
      <c r="J10" s="2"/>
      <c r="K10" s="2">
        <v>25</v>
      </c>
      <c r="L10" s="2">
        <v>0.29261700000000002</v>
      </c>
      <c r="M10" s="2"/>
      <c r="N10" s="2"/>
      <c r="O10" s="2" t="s">
        <v>6</v>
      </c>
      <c r="P10" s="14">
        <v>1121.8510000000001</v>
      </c>
      <c r="Q10" s="2">
        <v>1475.01</v>
      </c>
    </row>
    <row r="11" spans="1:19" x14ac:dyDescent="0.2">
      <c r="A11" s="6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9" x14ac:dyDescent="0.2">
      <c r="A12" s="6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S12" s="13"/>
    </row>
    <row r="13" spans="1:19" x14ac:dyDescent="0.2">
      <c r="A13" s="6" t="s">
        <v>0</v>
      </c>
      <c r="B13" s="2" t="s">
        <v>9</v>
      </c>
      <c r="C13" s="2" t="s">
        <v>2</v>
      </c>
      <c r="D13" s="2">
        <v>6</v>
      </c>
      <c r="E13" s="2">
        <v>1</v>
      </c>
      <c r="F13" s="2">
        <v>32</v>
      </c>
      <c r="G13" s="2" t="b">
        <v>1</v>
      </c>
      <c r="H13" s="2">
        <v>200</v>
      </c>
      <c r="I13" s="2">
        <v>3</v>
      </c>
      <c r="J13" s="2">
        <v>0.323407</v>
      </c>
      <c r="K13" s="2">
        <v>3</v>
      </c>
      <c r="L13" s="2">
        <v>0.28838200000000003</v>
      </c>
      <c r="M13" s="2">
        <f>(K13-I13)/K13</f>
        <v>0</v>
      </c>
      <c r="N13" s="2">
        <f>(J13-L13)/L13*100</f>
        <v>12.145348877530488</v>
      </c>
      <c r="O13" s="2">
        <v>507.916</v>
      </c>
      <c r="P13" s="2">
        <v>51.773000000000003</v>
      </c>
      <c r="Q13" s="2">
        <v>49.510300000000001</v>
      </c>
      <c r="R13" s="14">
        <v>47.401000000000003</v>
      </c>
      <c r="S13" s="14">
        <v>495.6</v>
      </c>
    </row>
    <row r="14" spans="1:19" x14ac:dyDescent="0.2">
      <c r="A14" s="6" t="s">
        <v>0</v>
      </c>
      <c r="B14" s="2" t="s">
        <v>9</v>
      </c>
      <c r="C14" s="2" t="s">
        <v>2</v>
      </c>
      <c r="D14" s="2">
        <v>6</v>
      </c>
      <c r="E14" s="2">
        <v>2</v>
      </c>
      <c r="F14" s="2">
        <v>64</v>
      </c>
      <c r="G14" s="2" t="b">
        <v>1</v>
      </c>
      <c r="H14" s="2">
        <v>200</v>
      </c>
      <c r="I14" s="2">
        <v>5</v>
      </c>
      <c r="J14" s="2">
        <v>0.29303699999999999</v>
      </c>
      <c r="K14" s="2">
        <v>6</v>
      </c>
      <c r="L14" s="2">
        <v>0.27757700000000002</v>
      </c>
      <c r="M14" s="2">
        <v>20</v>
      </c>
      <c r="N14" s="2">
        <f t="shared" ref="N14:N19" si="0">(J14-L14)/L14*100</f>
        <v>5.5696257254743626</v>
      </c>
      <c r="O14" s="2">
        <v>1587.8050000000001</v>
      </c>
      <c r="P14" s="2">
        <v>121.82599999999999</v>
      </c>
      <c r="Q14" s="2">
        <v>110.313</v>
      </c>
      <c r="R14" s="14">
        <v>113.336</v>
      </c>
      <c r="S14" s="14">
        <v>1104.2670000000001</v>
      </c>
    </row>
    <row r="15" spans="1:19" x14ac:dyDescent="0.2">
      <c r="A15" s="6" t="s">
        <v>0</v>
      </c>
      <c r="B15" s="2" t="s">
        <v>9</v>
      </c>
      <c r="C15" s="2" t="s">
        <v>2</v>
      </c>
      <c r="D15" s="2">
        <v>6</v>
      </c>
      <c r="E15" s="2">
        <v>3</v>
      </c>
      <c r="F15" s="2">
        <v>96</v>
      </c>
      <c r="G15" s="2" t="b">
        <v>1</v>
      </c>
      <c r="H15" s="2">
        <v>200</v>
      </c>
      <c r="I15" s="2">
        <v>8</v>
      </c>
      <c r="J15" s="2">
        <v>0.30191899999999999</v>
      </c>
      <c r="K15" s="2">
        <v>8</v>
      </c>
      <c r="L15" s="2">
        <v>0.30030000000000001</v>
      </c>
      <c r="M15" s="2">
        <f t="shared" ref="M15" si="1">(K15-I15)/K15</f>
        <v>0</v>
      </c>
      <c r="N15" s="2">
        <f t="shared" si="0"/>
        <v>0.53912753912753297</v>
      </c>
      <c r="O15" s="2">
        <v>2339.9630000000002</v>
      </c>
      <c r="P15" s="2">
        <v>195.654</v>
      </c>
      <c r="Q15" s="2">
        <v>176.042</v>
      </c>
      <c r="R15" s="14">
        <v>183.26499999999999</v>
      </c>
      <c r="S15" s="14">
        <v>2004.9459999999999</v>
      </c>
    </row>
    <row r="16" spans="1:19" x14ac:dyDescent="0.2">
      <c r="A16" s="6" t="s">
        <v>0</v>
      </c>
      <c r="B16" s="2" t="s">
        <v>9</v>
      </c>
      <c r="C16" s="2" t="s">
        <v>2</v>
      </c>
      <c r="D16" s="2">
        <v>6</v>
      </c>
      <c r="E16" s="2">
        <v>4</v>
      </c>
      <c r="F16" s="2">
        <v>128</v>
      </c>
      <c r="G16" s="2" t="b">
        <v>1</v>
      </c>
      <c r="H16" s="2">
        <v>200</v>
      </c>
      <c r="I16" s="2">
        <v>10</v>
      </c>
      <c r="J16" s="2">
        <v>0.29148099999999999</v>
      </c>
      <c r="K16" s="2">
        <v>10</v>
      </c>
      <c r="L16" s="2">
        <v>0.28512900000000002</v>
      </c>
      <c r="M16" s="2">
        <v>0</v>
      </c>
      <c r="N16" s="2">
        <f t="shared" si="0"/>
        <v>2.2277635736806736</v>
      </c>
      <c r="O16" s="2">
        <v>3915.1179999999999</v>
      </c>
      <c r="P16" s="2">
        <v>288.78300000000002</v>
      </c>
      <c r="Q16" s="2">
        <v>284.49799999999999</v>
      </c>
      <c r="R16" s="14">
        <v>254.87299999999999</v>
      </c>
      <c r="S16" s="14">
        <v>3527.3420000000001</v>
      </c>
    </row>
    <row r="17" spans="1:24" x14ac:dyDescent="0.2">
      <c r="A17" s="6" t="s">
        <v>0</v>
      </c>
      <c r="B17" s="2" t="s">
        <v>9</v>
      </c>
      <c r="C17" s="2" t="s">
        <v>2</v>
      </c>
      <c r="D17" s="2">
        <v>6</v>
      </c>
      <c r="E17" s="2">
        <v>5</v>
      </c>
      <c r="F17" s="2">
        <v>160</v>
      </c>
      <c r="G17" s="2" t="b">
        <v>1</v>
      </c>
      <c r="H17" s="2">
        <v>200</v>
      </c>
      <c r="I17" s="2">
        <v>12</v>
      </c>
      <c r="J17" s="2">
        <v>0.30788700000000002</v>
      </c>
      <c r="K17" s="2">
        <v>12</v>
      </c>
      <c r="L17" s="2">
        <v>0.30350199999999999</v>
      </c>
      <c r="M17" s="2">
        <v>0</v>
      </c>
      <c r="N17" s="2">
        <f t="shared" si="0"/>
        <v>1.4448010227280308</v>
      </c>
      <c r="O17" s="2">
        <v>6105.3710000000001</v>
      </c>
      <c r="P17" s="2">
        <v>384.58699999999999</v>
      </c>
      <c r="Q17" s="2">
        <v>395.50700000000001</v>
      </c>
      <c r="R17" s="14">
        <v>335.00299999999999</v>
      </c>
      <c r="S17" s="14">
        <v>4230.933</v>
      </c>
    </row>
    <row r="18" spans="1:24" x14ac:dyDescent="0.2">
      <c r="A18" s="6" t="s">
        <v>0</v>
      </c>
      <c r="B18" s="2" t="s">
        <v>9</v>
      </c>
      <c r="C18" s="2" t="s">
        <v>2</v>
      </c>
      <c r="D18" s="2">
        <v>6</v>
      </c>
      <c r="E18" s="2">
        <v>6</v>
      </c>
      <c r="F18" s="2">
        <v>192</v>
      </c>
      <c r="G18" s="2" t="b">
        <v>1</v>
      </c>
      <c r="H18" s="2">
        <v>200</v>
      </c>
      <c r="I18" s="2">
        <v>15</v>
      </c>
      <c r="J18" s="2">
        <v>0.29669299999999998</v>
      </c>
      <c r="K18" s="2">
        <v>15</v>
      </c>
      <c r="L18" s="2">
        <v>0.29669299999999998</v>
      </c>
      <c r="M18" s="2">
        <f>-M33</f>
        <v>0</v>
      </c>
      <c r="N18" s="2">
        <f t="shared" si="0"/>
        <v>0</v>
      </c>
      <c r="O18" s="2">
        <v>7249.1570000000002</v>
      </c>
      <c r="P18" s="2">
        <v>486.58</v>
      </c>
      <c r="Q18" s="2">
        <v>542.62</v>
      </c>
      <c r="R18" s="14">
        <v>413.71300000000002</v>
      </c>
      <c r="S18" s="14">
        <v>4849.8729999999996</v>
      </c>
    </row>
    <row r="19" spans="1:24" x14ac:dyDescent="0.2">
      <c r="A19" s="6" t="s">
        <v>0</v>
      </c>
      <c r="B19" s="2" t="s">
        <v>9</v>
      </c>
      <c r="C19" s="2" t="s">
        <v>2</v>
      </c>
      <c r="D19" s="2">
        <v>6</v>
      </c>
      <c r="E19" s="2">
        <v>7</v>
      </c>
      <c r="F19" s="2">
        <v>224</v>
      </c>
      <c r="G19" s="2" t="b">
        <v>1</v>
      </c>
      <c r="H19" s="2">
        <v>200</v>
      </c>
      <c r="I19" s="2">
        <v>17</v>
      </c>
      <c r="J19" s="2">
        <v>0.29947299999999999</v>
      </c>
      <c r="K19" s="2">
        <v>17</v>
      </c>
      <c r="L19" s="2">
        <v>0.29947299999999999</v>
      </c>
      <c r="M19" s="2">
        <v>0</v>
      </c>
      <c r="N19" s="2">
        <f t="shared" si="0"/>
        <v>0</v>
      </c>
      <c r="O19" s="12">
        <v>10795.178</v>
      </c>
      <c r="P19" s="2">
        <v>626.53899999999999</v>
      </c>
      <c r="Q19" s="2">
        <v>722.45600000000002</v>
      </c>
      <c r="R19" s="14">
        <v>511.77499999999998</v>
      </c>
      <c r="S19" s="14">
        <v>8108.1859999999997</v>
      </c>
    </row>
    <row r="20" spans="1:24" x14ac:dyDescent="0.2">
      <c r="A20" s="6" t="s">
        <v>0</v>
      </c>
      <c r="B20" s="2" t="s">
        <v>9</v>
      </c>
      <c r="C20" s="2" t="s">
        <v>2</v>
      </c>
      <c r="D20" s="2">
        <v>6</v>
      </c>
      <c r="E20" s="2">
        <v>8</v>
      </c>
      <c r="F20" s="2">
        <v>256</v>
      </c>
      <c r="G20" s="2" t="b">
        <v>1</v>
      </c>
      <c r="H20" s="2">
        <v>200</v>
      </c>
      <c r="I20" s="2"/>
      <c r="J20" s="2"/>
      <c r="K20" s="2">
        <v>19</v>
      </c>
      <c r="L20" s="2">
        <v>0.29988500000000001</v>
      </c>
      <c r="M20" s="2"/>
      <c r="N20" s="2"/>
      <c r="O20" s="2" t="s">
        <v>6</v>
      </c>
      <c r="P20" s="2">
        <v>777.04</v>
      </c>
      <c r="Q20" s="2">
        <v>857.30499999999995</v>
      </c>
      <c r="R20" s="14">
        <v>665.29200000000003</v>
      </c>
    </row>
    <row r="21" spans="1:24" x14ac:dyDescent="0.2">
      <c r="A21" s="6" t="s">
        <v>0</v>
      </c>
      <c r="B21" s="2" t="s">
        <v>9</v>
      </c>
      <c r="C21" s="2" t="s">
        <v>2</v>
      </c>
      <c r="D21" s="2">
        <v>6</v>
      </c>
      <c r="E21" s="2">
        <v>10</v>
      </c>
      <c r="F21" s="2">
        <v>320</v>
      </c>
      <c r="G21" s="2" t="b">
        <v>1</v>
      </c>
      <c r="H21" s="2">
        <v>200</v>
      </c>
      <c r="I21" s="2"/>
      <c r="J21" s="2"/>
      <c r="K21" s="2">
        <v>25</v>
      </c>
      <c r="L21" s="2">
        <v>0.29261700000000002</v>
      </c>
      <c r="M21" s="2"/>
      <c r="N21" s="2"/>
      <c r="O21" s="2" t="s">
        <v>6</v>
      </c>
      <c r="P21" s="2">
        <v>1170.546</v>
      </c>
      <c r="Q21" s="2">
        <v>1267.77</v>
      </c>
      <c r="R21" s="14">
        <v>951.91700000000003</v>
      </c>
    </row>
    <row r="22" spans="1:24" x14ac:dyDescent="0.2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R22" s="2"/>
      <c r="S22" s="2"/>
      <c r="T22" s="7"/>
      <c r="U22" s="8"/>
      <c r="V22" s="2"/>
      <c r="W22" s="1"/>
      <c r="X22" s="1"/>
    </row>
    <row r="23" spans="1:24" x14ac:dyDescent="0.2">
      <c r="A23" s="6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R23" s="2"/>
      <c r="S23" s="2"/>
      <c r="T23" s="7"/>
      <c r="U23" s="8"/>
      <c r="V23" s="2"/>
      <c r="W23" s="1"/>
      <c r="X23" s="1"/>
    </row>
    <row r="24" spans="1:24" x14ac:dyDescent="0.2">
      <c r="A24" s="6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7"/>
      <c r="U24" s="8"/>
      <c r="V24" s="2"/>
      <c r="W24" s="1"/>
      <c r="X24" s="1"/>
    </row>
    <row r="25" spans="1:24" x14ac:dyDescent="0.2">
      <c r="W25" s="1"/>
      <c r="X25" s="1"/>
    </row>
    <row r="26" spans="1:24" x14ac:dyDescent="0.2">
      <c r="F26" t="s">
        <v>5</v>
      </c>
      <c r="G26" s="4" t="s">
        <v>4</v>
      </c>
      <c r="H26" s="4" t="s">
        <v>7</v>
      </c>
      <c r="I26" s="2" t="s">
        <v>19</v>
      </c>
      <c r="J26" s="5" t="s">
        <v>28</v>
      </c>
      <c r="W26" s="1"/>
      <c r="X26" s="1"/>
    </row>
    <row r="27" spans="1:24" x14ac:dyDescent="0.2">
      <c r="F27" s="6" t="s">
        <v>0</v>
      </c>
      <c r="G27" s="2">
        <v>32</v>
      </c>
      <c r="H27" s="2" t="b">
        <v>0</v>
      </c>
      <c r="I27" s="14">
        <v>37.362000000000002</v>
      </c>
      <c r="J27" s="14">
        <v>452.089</v>
      </c>
      <c r="W27" s="1"/>
      <c r="X27" s="1"/>
    </row>
    <row r="28" spans="1:24" x14ac:dyDescent="0.2">
      <c r="F28" s="6" t="s">
        <v>0</v>
      </c>
      <c r="G28" s="2">
        <v>64</v>
      </c>
      <c r="H28" s="2" t="b">
        <v>0</v>
      </c>
      <c r="I28" s="14">
        <v>80.436000000000007</v>
      </c>
      <c r="J28" s="14">
        <v>1217.1690000000001</v>
      </c>
      <c r="W28" s="1"/>
      <c r="X28" s="1"/>
    </row>
    <row r="29" spans="1:24" x14ac:dyDescent="0.2">
      <c r="F29" s="6" t="s">
        <v>0</v>
      </c>
      <c r="G29" s="2">
        <v>96</v>
      </c>
      <c r="H29" s="2" t="b">
        <v>0</v>
      </c>
      <c r="I29" s="14">
        <v>145.5</v>
      </c>
      <c r="J29" s="14">
        <v>2300.8539999999998</v>
      </c>
    </row>
    <row r="30" spans="1:24" x14ac:dyDescent="0.2">
      <c r="F30" s="6" t="s">
        <v>0</v>
      </c>
      <c r="G30" s="2">
        <v>128</v>
      </c>
      <c r="H30" s="2" t="b">
        <v>0</v>
      </c>
      <c r="I30" s="14">
        <v>241.69399999999999</v>
      </c>
      <c r="J30" s="14">
        <v>3788.84</v>
      </c>
    </row>
    <row r="31" spans="1:24" x14ac:dyDescent="0.2">
      <c r="F31" s="6" t="s">
        <v>0</v>
      </c>
      <c r="G31" s="2">
        <v>160</v>
      </c>
      <c r="H31" s="2" t="b">
        <v>0</v>
      </c>
      <c r="I31" s="14">
        <v>328.91800000000001</v>
      </c>
      <c r="J31" s="14">
        <v>4893.2960000000003</v>
      </c>
    </row>
    <row r="32" spans="1:24" x14ac:dyDescent="0.2">
      <c r="F32" s="6" t="s">
        <v>0</v>
      </c>
      <c r="G32" s="2">
        <v>192</v>
      </c>
      <c r="H32" s="2" t="b">
        <v>0</v>
      </c>
      <c r="I32" s="14">
        <v>434.43799999999999</v>
      </c>
      <c r="J32" s="15" t="s">
        <v>23</v>
      </c>
    </row>
    <row r="33" spans="6:10" x14ac:dyDescent="0.2">
      <c r="F33" s="6" t="s">
        <v>0</v>
      </c>
      <c r="G33" s="2">
        <v>224</v>
      </c>
      <c r="H33" s="2" t="b">
        <v>0</v>
      </c>
      <c r="I33" s="14">
        <v>590.80600000000004</v>
      </c>
      <c r="J33" s="15" t="s">
        <v>24</v>
      </c>
    </row>
    <row r="34" spans="6:10" x14ac:dyDescent="0.2">
      <c r="F34" s="6" t="s">
        <v>0</v>
      </c>
      <c r="G34" s="2">
        <v>256</v>
      </c>
      <c r="H34" s="2" t="b">
        <v>0</v>
      </c>
      <c r="I34" s="14">
        <v>731.721</v>
      </c>
      <c r="J34" s="2" t="s">
        <v>6</v>
      </c>
    </row>
    <row r="35" spans="6:10" x14ac:dyDescent="0.2">
      <c r="F35" s="6" t="s">
        <v>0</v>
      </c>
      <c r="G35" s="2">
        <v>320</v>
      </c>
      <c r="H35" s="2" t="b">
        <v>0</v>
      </c>
      <c r="I35" s="14">
        <v>1121.8510000000001</v>
      </c>
      <c r="J35" s="2" t="s">
        <v>6</v>
      </c>
    </row>
    <row r="36" spans="6:10" x14ac:dyDescent="0.2">
      <c r="F36" s="6" t="s">
        <v>0</v>
      </c>
      <c r="G36" s="2">
        <v>32</v>
      </c>
      <c r="H36" s="2" t="b">
        <v>1</v>
      </c>
      <c r="I36" s="14">
        <v>47.401000000000003</v>
      </c>
      <c r="J36" s="14">
        <v>495.6</v>
      </c>
    </row>
    <row r="37" spans="6:10" x14ac:dyDescent="0.2">
      <c r="F37" s="6" t="s">
        <v>0</v>
      </c>
      <c r="G37" s="2">
        <v>64</v>
      </c>
      <c r="H37" s="2" t="b">
        <v>1</v>
      </c>
      <c r="I37" s="14">
        <v>113.336</v>
      </c>
      <c r="J37" s="14">
        <v>1104.2670000000001</v>
      </c>
    </row>
    <row r="38" spans="6:10" x14ac:dyDescent="0.2">
      <c r="F38" s="6" t="s">
        <v>0</v>
      </c>
      <c r="G38" s="2">
        <v>96</v>
      </c>
      <c r="H38" s="2" t="b">
        <v>1</v>
      </c>
      <c r="I38" s="14">
        <v>183.26499999999999</v>
      </c>
      <c r="J38" s="14">
        <v>2004.9459999999999</v>
      </c>
    </row>
    <row r="39" spans="6:10" x14ac:dyDescent="0.2">
      <c r="F39" s="6" t="s">
        <v>0</v>
      </c>
      <c r="G39" s="2">
        <v>128</v>
      </c>
      <c r="H39" s="2" t="b">
        <v>1</v>
      </c>
      <c r="I39" s="14">
        <v>254.87299999999999</v>
      </c>
      <c r="J39" s="14">
        <v>3527.3420000000001</v>
      </c>
    </row>
    <row r="40" spans="6:10" x14ac:dyDescent="0.2">
      <c r="F40" s="6" t="s">
        <v>0</v>
      </c>
      <c r="G40" s="2">
        <v>160</v>
      </c>
      <c r="H40" s="2" t="b">
        <v>1</v>
      </c>
      <c r="I40" s="14">
        <v>335.00299999999999</v>
      </c>
      <c r="J40" s="14">
        <v>4230.933</v>
      </c>
    </row>
    <row r="41" spans="6:10" x14ac:dyDescent="0.2">
      <c r="F41" s="6" t="s">
        <v>0</v>
      </c>
      <c r="G41" s="2">
        <v>192</v>
      </c>
      <c r="H41" s="2" t="b">
        <v>1</v>
      </c>
      <c r="I41" s="14">
        <v>413.71300000000002</v>
      </c>
      <c r="J41" s="14">
        <v>4849.8729999999996</v>
      </c>
    </row>
    <row r="42" spans="6:10" x14ac:dyDescent="0.2">
      <c r="F42" s="6" t="s">
        <v>0</v>
      </c>
      <c r="G42" s="2">
        <v>224</v>
      </c>
      <c r="H42" s="2" t="b">
        <v>1</v>
      </c>
      <c r="I42" s="14">
        <v>511.77499999999998</v>
      </c>
      <c r="J42" s="14">
        <v>8108.1859999999997</v>
      </c>
    </row>
    <row r="43" spans="6:10" x14ac:dyDescent="0.2">
      <c r="F43" s="6" t="s">
        <v>0</v>
      </c>
      <c r="G43" s="2">
        <v>256</v>
      </c>
      <c r="H43" s="2" t="b">
        <v>1</v>
      </c>
      <c r="I43" s="14">
        <v>665.29200000000003</v>
      </c>
    </row>
    <row r="44" spans="6:10" x14ac:dyDescent="0.2">
      <c r="F44" s="6" t="s">
        <v>0</v>
      </c>
      <c r="G44" s="2">
        <v>320</v>
      </c>
      <c r="H44" s="2" t="b">
        <v>1</v>
      </c>
      <c r="I44" s="14">
        <v>951.91700000000003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Yifu Wei</dc:creator>
  <cp:lastModifiedBy>逸夫 卫</cp:lastModifiedBy>
  <dcterms:created xsi:type="dcterms:W3CDTF">2015-06-05T18:17:20Z</dcterms:created>
  <dcterms:modified xsi:type="dcterms:W3CDTF">2025-09-30T17:37:21Z</dcterms:modified>
</cp:coreProperties>
</file>