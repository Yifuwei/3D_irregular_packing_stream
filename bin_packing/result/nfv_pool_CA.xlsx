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work\NFV_POOL_TESTING\result\"/>
    </mc:Choice>
  </mc:AlternateContent>
  <xr:revisionPtr revIDLastSave="0" documentId="13_ncr:1_{B159E7D2-170E-4EC0-9C00-6B8B05C7CA6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1" l="1"/>
  <c r="J24" i="1" s="1"/>
  <c r="I24" i="1"/>
  <c r="L11" i="1"/>
  <c r="L12" i="1"/>
  <c r="J12" i="1" s="1"/>
  <c r="L23" i="1"/>
  <c r="J23" i="1" s="1"/>
  <c r="L22" i="1"/>
  <c r="J22" i="1" s="1"/>
  <c r="I23" i="1"/>
  <c r="L10" i="1"/>
  <c r="J10" i="1" s="1"/>
  <c r="L9" i="1"/>
  <c r="J9" i="1" s="1"/>
  <c r="I22" i="1"/>
  <c r="I21" i="1"/>
  <c r="L21" i="1"/>
  <c r="J21" i="1" s="1"/>
  <c r="L20" i="1"/>
  <c r="J20" i="1" s="1"/>
  <c r="L8" i="1"/>
  <c r="J8" i="1" s="1"/>
  <c r="L7" i="1"/>
  <c r="J7" i="1" s="1"/>
  <c r="L19" i="1"/>
  <c r="J19" i="1" s="1"/>
  <c r="I34" i="1"/>
  <c r="I20" i="1"/>
  <c r="L34" i="1"/>
  <c r="J34" i="1" s="1"/>
  <c r="L2" i="1"/>
  <c r="J2" i="1" s="1"/>
  <c r="I19" i="1"/>
  <c r="I33" i="1"/>
  <c r="L33" i="1"/>
  <c r="J33" i="1" s="1"/>
  <c r="L29" i="1"/>
  <c r="L30" i="1"/>
  <c r="J30" i="1" s="1"/>
  <c r="L31" i="1"/>
  <c r="J31" i="1" s="1"/>
  <c r="L32" i="1"/>
  <c r="J32" i="1" s="1"/>
  <c r="L28" i="1"/>
  <c r="J28" i="1" s="1"/>
  <c r="J29" i="1"/>
  <c r="L18" i="1"/>
  <c r="J18" i="1" s="1"/>
  <c r="L14" i="1"/>
  <c r="J14" i="1" s="1"/>
  <c r="I32" i="1"/>
  <c r="I31" i="1"/>
  <c r="I30" i="1"/>
  <c r="I29" i="1"/>
  <c r="I28" i="1"/>
  <c r="I15" i="1"/>
  <c r="I16" i="1"/>
  <c r="I17" i="1"/>
  <c r="I18" i="1"/>
  <c r="I14" i="1"/>
  <c r="L17" i="1"/>
  <c r="J17" i="1" s="1"/>
  <c r="L3" i="1"/>
  <c r="J3" i="1" s="1"/>
  <c r="L4" i="1"/>
  <c r="J4" i="1" s="1"/>
  <c r="L5" i="1"/>
  <c r="J5" i="1" s="1"/>
  <c r="L6" i="1"/>
  <c r="J6" i="1" s="1"/>
  <c r="L15" i="1"/>
  <c r="J15" i="1" s="1"/>
  <c r="L16" i="1"/>
  <c r="J16" i="1" s="1"/>
  <c r="J11" i="1" l="1"/>
</calcChain>
</file>

<file path=xl/sharedStrings.xml><?xml version="1.0" encoding="utf-8"?>
<sst xmlns="http://schemas.openxmlformats.org/spreadsheetml/2006/main" count="107" uniqueCount="19">
  <si>
    <t>call_nfv_gpu_n</t>
    <phoneticPr fontId="1" type="noConversion"/>
  </si>
  <si>
    <t>chess</t>
    <phoneticPr fontId="1" type="noConversion"/>
  </si>
  <si>
    <t>array_size</t>
    <phoneticPr fontId="1" type="noConversion"/>
  </si>
  <si>
    <t>(56,56,56)</t>
    <phoneticPr fontId="1" type="noConversion"/>
  </si>
  <si>
    <t>pieces_type_N</t>
    <phoneticPr fontId="1" type="noConversion"/>
  </si>
  <si>
    <t>pieces_N</t>
    <phoneticPr fontId="1" type="noConversion"/>
  </si>
  <si>
    <t>dataset</t>
    <phoneticPr fontId="1" type="noConversion"/>
  </si>
  <si>
    <r>
      <t xml:space="preserve">This function is </t>
    </r>
    <r>
      <rPr>
        <b/>
        <i/>
        <sz val="11"/>
        <color theme="1"/>
        <rFont val="等线"/>
        <family val="3"/>
        <charset val="134"/>
        <scheme val="minor"/>
      </rPr>
      <t>get_feasible_region()</t>
    </r>
    <phoneticPr fontId="1" type="noConversion"/>
  </si>
  <si>
    <t>overall_call_get_nfv</t>
    <phoneticPr fontId="1" type="noConversion"/>
  </si>
  <si>
    <t>-</t>
    <phoneticPr fontId="1" type="noConversion"/>
  </si>
  <si>
    <t>repeated_nfv(%)</t>
    <phoneticPr fontId="1" type="noConversion"/>
  </si>
  <si>
    <t>T_overall_this_function(s)</t>
    <phoneticPr fontId="1" type="noConversion"/>
  </si>
  <si>
    <t>average_nfv_gpu_t(s)</t>
    <phoneticPr fontId="1" type="noConversion"/>
  </si>
  <si>
    <t>overall_nfv_gpu_t(s)</t>
    <phoneticPr fontId="1" type="noConversion"/>
  </si>
  <si>
    <t>overall_nfv_gpu_t_percent</t>
    <phoneticPr fontId="1" type="noConversion"/>
  </si>
  <si>
    <r>
      <t xml:space="preserve">This function is </t>
    </r>
    <r>
      <rPr>
        <b/>
        <i/>
        <sz val="11"/>
        <color theme="1"/>
        <rFont val="等线"/>
        <family val="3"/>
        <charset val="134"/>
        <scheme val="minor"/>
      </rPr>
      <t>retrieve_nfv()</t>
    </r>
    <r>
      <rPr>
        <sz val="11"/>
        <color theme="1"/>
        <rFont val="等线"/>
        <family val="2"/>
        <scheme val="minor"/>
      </rPr>
      <t>, array size transformation and nfv.translation</t>
    </r>
    <phoneticPr fontId="1" type="noConversion"/>
  </si>
  <si>
    <t>use_nfv_pool</t>
    <phoneticPr fontId="1" type="noConversion"/>
  </si>
  <si>
    <t>ALG</t>
    <phoneticPr fontId="1" type="noConversion"/>
  </si>
  <si>
    <t>fixed CA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</si>
</sst>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3" fillId="0" borderId="0" xfId="0" applyFont="1" applyAlignment="1">
      <alignment horizontal="right"/>
    </xf>
    <xf numFmtId="0" fontId="0" fillId="0" borderId="11" xfId="0" applyBorder="1" applyAlignment="1">
      <alignment horizontal="right"/>
    </xf>
    <xf numFmtId="0" fontId="0" fillId="3" borderId="10" xfId="0" applyFill="1" applyBorder="1" applyAlignment="1">
      <alignment horizontal="right"/>
    </xf>
    <xf numFmtId="0" fontId="0" fillId="3" borderId="0" xfId="0" applyFill="1" applyAlignment="1">
      <alignment horizontal="right"/>
    </xf>
    <xf numFmtId="0" fontId="3" fillId="3" borderId="0" xfId="0" applyFont="1" applyFill="1" applyAlignment="1">
      <alignment horizontal="right"/>
    </xf>
    <xf numFmtId="0" fontId="0" fillId="3" borderId="11" xfId="0" applyFill="1" applyBorder="1" applyAlignment="1">
      <alignment horizontal="right"/>
    </xf>
    <xf numFmtId="0" fontId="0" fillId="3" borderId="12" xfId="0" applyFill="1" applyBorder="1" applyAlignment="1">
      <alignment horizontal="right"/>
    </xf>
    <xf numFmtId="0" fontId="0" fillId="3" borderId="13" xfId="0" applyFill="1" applyBorder="1" applyAlignment="1">
      <alignment horizontal="right"/>
    </xf>
    <xf numFmtId="0" fontId="3" fillId="3" borderId="13" xfId="0" applyFont="1" applyFill="1" applyBorder="1" applyAlignment="1">
      <alignment horizontal="right"/>
    </xf>
    <xf numFmtId="0" fontId="0" fillId="3" borderId="14" xfId="0" applyFill="1" applyBorder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right"/>
    </xf>
    <xf numFmtId="0" fontId="0" fillId="3" borderId="0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abSelected="1" zoomScaleNormal="100" workbookViewId="0">
      <selection activeCell="B13" sqref="B13"/>
    </sheetView>
  </sheetViews>
  <sheetFormatPr defaultRowHeight="14.25" x14ac:dyDescent="0.2"/>
  <cols>
    <col min="3" max="3" width="16.375" customWidth="1"/>
    <col min="4" max="4" width="18" customWidth="1"/>
    <col min="5" max="5" width="20.125" customWidth="1"/>
    <col min="6" max="6" width="24.5" customWidth="1"/>
    <col min="7" max="7" width="20.375" customWidth="1"/>
    <col min="8" max="8" width="17.875" customWidth="1"/>
    <col min="9" max="9" width="24" customWidth="1"/>
    <col min="10" max="10" width="30.875" customWidth="1"/>
    <col min="11" max="11" width="22.375" customWidth="1"/>
    <col min="12" max="12" width="26.5" customWidth="1"/>
    <col min="13" max="13" width="22.5" customWidth="1"/>
    <col min="14" max="14" width="6.875" customWidth="1"/>
    <col min="15" max="15" width="13.75" customWidth="1"/>
    <col min="16" max="16" width="57.25" customWidth="1"/>
  </cols>
  <sheetData>
    <row r="1" spans="1:16" x14ac:dyDescent="0.2">
      <c r="A1" s="3" t="s">
        <v>6</v>
      </c>
      <c r="B1" s="4" t="s">
        <v>17</v>
      </c>
      <c r="C1" s="4" t="s">
        <v>2</v>
      </c>
      <c r="D1" s="4" t="s">
        <v>4</v>
      </c>
      <c r="E1" s="4" t="s">
        <v>5</v>
      </c>
      <c r="F1" s="4" t="s">
        <v>16</v>
      </c>
      <c r="G1" s="4" t="s">
        <v>8</v>
      </c>
      <c r="H1" s="4" t="s">
        <v>0</v>
      </c>
      <c r="I1" s="4" t="s">
        <v>10</v>
      </c>
      <c r="J1" s="4" t="s">
        <v>12</v>
      </c>
      <c r="K1" s="4" t="s">
        <v>14</v>
      </c>
      <c r="L1" s="4" t="s">
        <v>13</v>
      </c>
      <c r="M1" s="5" t="s">
        <v>11</v>
      </c>
      <c r="N1" s="2"/>
      <c r="O1" s="17" t="s">
        <v>7</v>
      </c>
      <c r="P1" s="18"/>
    </row>
    <row r="2" spans="1:16" x14ac:dyDescent="0.2">
      <c r="A2" s="6" t="s">
        <v>1</v>
      </c>
      <c r="B2" s="29" t="s">
        <v>18</v>
      </c>
      <c r="C2" s="2" t="s">
        <v>3</v>
      </c>
      <c r="D2" s="2">
        <v>6</v>
      </c>
      <c r="E2" s="2">
        <v>32</v>
      </c>
      <c r="F2" s="2" t="b">
        <v>0</v>
      </c>
      <c r="G2" s="2">
        <v>460</v>
      </c>
      <c r="H2" s="2">
        <v>460</v>
      </c>
      <c r="I2" s="2" t="s">
        <v>9</v>
      </c>
      <c r="J2" s="2">
        <f t="shared" ref="J2:J8" si="0">L2/H2</f>
        <v>1.9732888478260869E-2</v>
      </c>
      <c r="K2" s="2">
        <v>33.700000000000003</v>
      </c>
      <c r="L2" s="7">
        <f t="shared" ref="L2:L9" si="1">M2 * (K2/100)</f>
        <v>9.0771286999999994</v>
      </c>
      <c r="M2" s="8">
        <v>26.935099999999998</v>
      </c>
      <c r="N2" s="2"/>
      <c r="O2" s="19"/>
      <c r="P2" s="20"/>
    </row>
    <row r="3" spans="1:16" ht="15" thickBot="1" x14ac:dyDescent="0.25">
      <c r="A3" s="6" t="s">
        <v>1</v>
      </c>
      <c r="B3" s="29" t="s">
        <v>18</v>
      </c>
      <c r="C3" s="2" t="s">
        <v>3</v>
      </c>
      <c r="D3" s="2">
        <v>6</v>
      </c>
      <c r="E3" s="2">
        <v>48</v>
      </c>
      <c r="F3" s="2" t="b">
        <v>0</v>
      </c>
      <c r="G3" s="2">
        <v>950</v>
      </c>
      <c r="H3" s="2">
        <v>950</v>
      </c>
      <c r="I3" s="2" t="s">
        <v>9</v>
      </c>
      <c r="J3" s="2">
        <f t="shared" si="0"/>
        <v>1.8899120421052632E-2</v>
      </c>
      <c r="K3" s="2">
        <v>35.9</v>
      </c>
      <c r="L3" s="7">
        <f t="shared" si="1"/>
        <v>17.9541644</v>
      </c>
      <c r="M3" s="8">
        <v>50.011600000000001</v>
      </c>
      <c r="N3" s="2"/>
      <c r="O3" s="21"/>
      <c r="P3" s="22"/>
    </row>
    <row r="4" spans="1:16" x14ac:dyDescent="0.2">
      <c r="A4" s="6" t="s">
        <v>1</v>
      </c>
      <c r="B4" s="29" t="s">
        <v>18</v>
      </c>
      <c r="C4" s="2" t="s">
        <v>3</v>
      </c>
      <c r="D4" s="2">
        <v>6</v>
      </c>
      <c r="E4" s="2">
        <v>64</v>
      </c>
      <c r="F4" s="2" t="b">
        <v>0</v>
      </c>
      <c r="G4" s="2">
        <v>1610</v>
      </c>
      <c r="H4" s="2">
        <v>1610</v>
      </c>
      <c r="I4" s="2" t="s">
        <v>9</v>
      </c>
      <c r="J4" s="2">
        <f t="shared" si="0"/>
        <v>1.6769269068322983E-2</v>
      </c>
      <c r="K4" s="2">
        <v>35.9</v>
      </c>
      <c r="L4" s="7">
        <f t="shared" si="1"/>
        <v>26.998523200000001</v>
      </c>
      <c r="M4" s="8">
        <v>75.204800000000006</v>
      </c>
      <c r="N4" s="2"/>
      <c r="O4" s="1"/>
      <c r="P4" s="1"/>
    </row>
    <row r="5" spans="1:16" x14ac:dyDescent="0.2">
      <c r="A5" s="6" t="s">
        <v>1</v>
      </c>
      <c r="B5" s="29" t="s">
        <v>18</v>
      </c>
      <c r="C5" s="2" t="s">
        <v>3</v>
      </c>
      <c r="D5" s="2">
        <v>6</v>
      </c>
      <c r="E5" s="2">
        <v>80</v>
      </c>
      <c r="F5" s="2" t="b">
        <v>0</v>
      </c>
      <c r="G5" s="2">
        <v>2600</v>
      </c>
      <c r="H5" s="2">
        <v>2600</v>
      </c>
      <c r="I5" s="2" t="s">
        <v>9</v>
      </c>
      <c r="J5" s="2">
        <f t="shared" si="0"/>
        <v>1.6584196153846154E-2</v>
      </c>
      <c r="K5" s="2">
        <v>36.5</v>
      </c>
      <c r="L5" s="7">
        <f t="shared" si="1"/>
        <v>43.11891</v>
      </c>
      <c r="M5" s="8">
        <v>118.134</v>
      </c>
      <c r="N5" s="2"/>
      <c r="O5" s="1"/>
      <c r="P5" s="1"/>
    </row>
    <row r="6" spans="1:16" x14ac:dyDescent="0.2">
      <c r="A6" s="6" t="s">
        <v>1</v>
      </c>
      <c r="B6" s="29" t="s">
        <v>18</v>
      </c>
      <c r="C6" s="2" t="s">
        <v>3</v>
      </c>
      <c r="D6" s="2">
        <v>6</v>
      </c>
      <c r="E6" s="2">
        <v>96</v>
      </c>
      <c r="F6" s="2" t="b">
        <v>0</v>
      </c>
      <c r="G6" s="2">
        <v>3680</v>
      </c>
      <c r="H6" s="2">
        <v>3680</v>
      </c>
      <c r="I6" s="2" t="s">
        <v>9</v>
      </c>
      <c r="J6" s="2">
        <f t="shared" si="0"/>
        <v>1.5043206521739131E-2</v>
      </c>
      <c r="K6" s="2">
        <v>36</v>
      </c>
      <c r="L6" s="7">
        <f t="shared" si="1"/>
        <v>55.359000000000002</v>
      </c>
      <c r="M6" s="8">
        <v>153.77500000000001</v>
      </c>
      <c r="N6" s="2"/>
      <c r="O6" s="1"/>
      <c r="P6" s="1"/>
    </row>
    <row r="7" spans="1:16" x14ac:dyDescent="0.2">
      <c r="A7" s="6" t="s">
        <v>1</v>
      </c>
      <c r="B7" s="29" t="s">
        <v>18</v>
      </c>
      <c r="C7" s="2" t="s">
        <v>3</v>
      </c>
      <c r="D7" s="2">
        <v>6</v>
      </c>
      <c r="E7" s="2">
        <v>128</v>
      </c>
      <c r="F7" s="2" t="b">
        <v>0</v>
      </c>
      <c r="G7" s="2">
        <v>6500</v>
      </c>
      <c r="H7" s="2">
        <v>6500</v>
      </c>
      <c r="I7" s="2" t="s">
        <v>9</v>
      </c>
      <c r="J7" s="2">
        <f t="shared" si="0"/>
        <v>1.6300002461538461E-2</v>
      </c>
      <c r="K7" s="2">
        <v>43.9</v>
      </c>
      <c r="L7" s="7">
        <f t="shared" si="1"/>
        <v>105.95001599999999</v>
      </c>
      <c r="M7" s="8">
        <v>241.34399999999999</v>
      </c>
      <c r="N7" s="2"/>
      <c r="O7" s="1"/>
      <c r="P7" s="1"/>
    </row>
    <row r="8" spans="1:16" x14ac:dyDescent="0.2">
      <c r="A8" s="6" t="s">
        <v>1</v>
      </c>
      <c r="B8" s="29" t="s">
        <v>18</v>
      </c>
      <c r="C8" s="2" t="s">
        <v>3</v>
      </c>
      <c r="D8" s="2">
        <v>6</v>
      </c>
      <c r="E8" s="2">
        <v>160</v>
      </c>
      <c r="F8" s="2" t="b">
        <v>0</v>
      </c>
      <c r="G8" s="2">
        <v>9840</v>
      </c>
      <c r="H8" s="2">
        <v>9840</v>
      </c>
      <c r="I8" s="2" t="s">
        <v>9</v>
      </c>
      <c r="J8" s="2">
        <f t="shared" si="0"/>
        <v>1.6692501829268295E-2</v>
      </c>
      <c r="K8" s="2">
        <v>44.6</v>
      </c>
      <c r="L8" s="7">
        <f t="shared" si="1"/>
        <v>164.25421800000001</v>
      </c>
      <c r="M8" s="8">
        <v>368.28300000000002</v>
      </c>
      <c r="N8" s="2"/>
      <c r="O8" s="1"/>
      <c r="P8" s="1"/>
    </row>
    <row r="9" spans="1:16" x14ac:dyDescent="0.2">
      <c r="A9" s="6" t="s">
        <v>1</v>
      </c>
      <c r="B9" s="29" t="s">
        <v>18</v>
      </c>
      <c r="C9" s="2" t="s">
        <v>3</v>
      </c>
      <c r="D9" s="2">
        <v>6</v>
      </c>
      <c r="E9" s="2">
        <v>192</v>
      </c>
      <c r="F9" s="2" t="b">
        <v>0</v>
      </c>
      <c r="G9" s="2">
        <v>14490</v>
      </c>
      <c r="H9" s="2">
        <v>14490</v>
      </c>
      <c r="I9" s="2" t="s">
        <v>9</v>
      </c>
      <c r="J9" s="2">
        <f>L9/H9</f>
        <v>1.6070528088336783E-2</v>
      </c>
      <c r="K9" s="2">
        <v>44.6</v>
      </c>
      <c r="L9" s="7">
        <f t="shared" si="1"/>
        <v>232.861952</v>
      </c>
      <c r="M9" s="8">
        <v>522.11199999999997</v>
      </c>
      <c r="N9" s="2"/>
      <c r="O9" s="1"/>
      <c r="P9" s="1"/>
    </row>
    <row r="10" spans="1:16" x14ac:dyDescent="0.2">
      <c r="A10" s="6" t="s">
        <v>1</v>
      </c>
      <c r="B10" s="29" t="s">
        <v>18</v>
      </c>
      <c r="C10" s="2" t="s">
        <v>3</v>
      </c>
      <c r="D10" s="2">
        <v>6</v>
      </c>
      <c r="E10" s="2">
        <v>224</v>
      </c>
      <c r="F10" s="2" t="b">
        <v>0</v>
      </c>
      <c r="G10" s="2">
        <v>18830</v>
      </c>
      <c r="H10" s="2">
        <v>18830</v>
      </c>
      <c r="I10" s="2" t="s">
        <v>9</v>
      </c>
      <c r="J10" s="2">
        <f>L10/H10</f>
        <v>1.8932650929368029E-2</v>
      </c>
      <c r="K10" s="2">
        <v>48.3</v>
      </c>
      <c r="L10" s="7">
        <f>M10 * (K10/100)</f>
        <v>356.50181700000002</v>
      </c>
      <c r="M10" s="8">
        <v>738.09900000000005</v>
      </c>
      <c r="N10" s="2"/>
      <c r="O10" s="1"/>
      <c r="P10" s="1"/>
    </row>
    <row r="11" spans="1:16" x14ac:dyDescent="0.2">
      <c r="A11" s="6" t="s">
        <v>1</v>
      </c>
      <c r="B11" s="29" t="s">
        <v>18</v>
      </c>
      <c r="C11" s="2" t="s">
        <v>3</v>
      </c>
      <c r="D11" s="2">
        <v>6</v>
      </c>
      <c r="E11" s="2">
        <v>256</v>
      </c>
      <c r="F11" s="2" t="b">
        <v>0</v>
      </c>
      <c r="G11" s="2">
        <v>24700</v>
      </c>
      <c r="H11" s="2">
        <v>24700</v>
      </c>
      <c r="I11" s="2" t="s">
        <v>9</v>
      </c>
      <c r="J11" s="2">
        <f>L11/H11</f>
        <v>1.8157848623481784E-2</v>
      </c>
      <c r="K11" s="2">
        <v>46.7</v>
      </c>
      <c r="L11" s="7">
        <f>M11 * (K11/100)</f>
        <v>448.49886100000003</v>
      </c>
      <c r="M11" s="8">
        <v>960.38300000000004</v>
      </c>
      <c r="N11" s="2"/>
      <c r="O11" s="1"/>
      <c r="P11" s="1"/>
    </row>
    <row r="12" spans="1:16" x14ac:dyDescent="0.2">
      <c r="A12" s="6" t="s">
        <v>1</v>
      </c>
      <c r="B12" s="29" t="s">
        <v>18</v>
      </c>
      <c r="C12" s="2" t="s">
        <v>3</v>
      </c>
      <c r="D12" s="2">
        <v>6</v>
      </c>
      <c r="E12" s="2">
        <v>320</v>
      </c>
      <c r="F12" s="2" t="b">
        <v>0</v>
      </c>
      <c r="G12" s="2">
        <v>37290</v>
      </c>
      <c r="H12" s="2">
        <v>37290</v>
      </c>
      <c r="I12" s="2" t="s">
        <v>9</v>
      </c>
      <c r="J12" s="2">
        <f>L12/H12</f>
        <v>1.9184227674979886E-2</v>
      </c>
      <c r="K12" s="2">
        <v>48.5</v>
      </c>
      <c r="L12" s="7">
        <f>M12 * (K12/100)</f>
        <v>715.37984999999992</v>
      </c>
      <c r="M12" s="8">
        <v>1475.01</v>
      </c>
      <c r="N12" s="2"/>
      <c r="O12" s="1"/>
      <c r="P12" s="1"/>
    </row>
    <row r="13" spans="1:16" ht="15" thickBot="1" x14ac:dyDescent="0.25">
      <c r="A13" s="6"/>
      <c r="B13" s="29"/>
      <c r="C13" s="2"/>
      <c r="D13" s="2"/>
      <c r="E13" s="2"/>
      <c r="F13" s="2"/>
      <c r="G13" s="2"/>
      <c r="H13" s="2"/>
      <c r="I13" s="2"/>
      <c r="J13" s="2"/>
      <c r="K13" s="2"/>
      <c r="L13" s="7"/>
      <c r="M13" s="8"/>
      <c r="N13" s="2"/>
      <c r="O13" s="1"/>
      <c r="P13" s="1"/>
    </row>
    <row r="14" spans="1:16" x14ac:dyDescent="0.2">
      <c r="A14" s="6" t="s">
        <v>1</v>
      </c>
      <c r="B14" s="29" t="s">
        <v>18</v>
      </c>
      <c r="C14" s="2" t="s">
        <v>3</v>
      </c>
      <c r="D14" s="2">
        <v>6</v>
      </c>
      <c r="E14" s="2">
        <v>32</v>
      </c>
      <c r="F14" s="2" t="b">
        <v>1</v>
      </c>
      <c r="G14" s="2">
        <v>4900</v>
      </c>
      <c r="H14" s="2">
        <v>760</v>
      </c>
      <c r="I14" s="2">
        <f>(1-(H14/G14) )*100</f>
        <v>84.489795918367349</v>
      </c>
      <c r="J14" s="2">
        <f t="shared" ref="J14:J22" si="2">L14/H14</f>
        <v>5.1269218552631585E-2</v>
      </c>
      <c r="K14" s="2">
        <v>78.7</v>
      </c>
      <c r="L14" s="7">
        <f t="shared" ref="L14:L18" si="3">M14 * (K14/100)</f>
        <v>38.964606100000005</v>
      </c>
      <c r="M14" s="8">
        <v>49.510300000000001</v>
      </c>
      <c r="N14" s="2"/>
      <c r="O14" s="23" t="s">
        <v>7</v>
      </c>
      <c r="P14" s="24"/>
    </row>
    <row r="15" spans="1:16" x14ac:dyDescent="0.2">
      <c r="A15" s="6" t="s">
        <v>1</v>
      </c>
      <c r="B15" s="29" t="s">
        <v>18</v>
      </c>
      <c r="C15" s="2" t="s">
        <v>3</v>
      </c>
      <c r="D15" s="2">
        <v>6</v>
      </c>
      <c r="E15" s="2">
        <v>48</v>
      </c>
      <c r="F15" s="2" t="b">
        <v>1</v>
      </c>
      <c r="G15" s="2">
        <v>11120</v>
      </c>
      <c r="H15" s="2">
        <v>1060</v>
      </c>
      <c r="I15" s="2">
        <f t="shared" ref="I15:I24" si="4">(1-(H15/G15) )*100</f>
        <v>90.467625899280577</v>
      </c>
      <c r="J15" s="2">
        <f t="shared" si="2"/>
        <v>5.0368759433962261E-2</v>
      </c>
      <c r="K15" s="2">
        <v>72.5</v>
      </c>
      <c r="L15" s="7">
        <f t="shared" si="3"/>
        <v>53.390884999999997</v>
      </c>
      <c r="M15" s="8">
        <v>73.642600000000002</v>
      </c>
      <c r="N15" s="2"/>
      <c r="O15" s="25"/>
      <c r="P15" s="26"/>
    </row>
    <row r="16" spans="1:16" ht="15" thickBot="1" x14ac:dyDescent="0.25">
      <c r="A16" s="6" t="s">
        <v>1</v>
      </c>
      <c r="B16" s="29" t="s">
        <v>18</v>
      </c>
      <c r="C16" s="2" t="s">
        <v>3</v>
      </c>
      <c r="D16" s="2">
        <v>6</v>
      </c>
      <c r="E16" s="2">
        <v>64</v>
      </c>
      <c r="F16" s="2" t="b">
        <v>1</v>
      </c>
      <c r="G16" s="2">
        <v>19910</v>
      </c>
      <c r="H16" s="2">
        <v>1280</v>
      </c>
      <c r="I16" s="2">
        <f t="shared" si="4"/>
        <v>93.571069814163735</v>
      </c>
      <c r="J16" s="2">
        <f t="shared" si="2"/>
        <v>6.0413603906250002E-2</v>
      </c>
      <c r="K16" s="2">
        <v>70.099999999999994</v>
      </c>
      <c r="L16" s="7">
        <f t="shared" si="3"/>
        <v>77.329413000000002</v>
      </c>
      <c r="M16" s="8">
        <v>110.313</v>
      </c>
      <c r="N16" s="2"/>
      <c r="O16" s="27"/>
      <c r="P16" s="28"/>
    </row>
    <row r="17" spans="1:16" x14ac:dyDescent="0.2">
      <c r="A17" s="6" t="s">
        <v>1</v>
      </c>
      <c r="B17" s="29" t="s">
        <v>18</v>
      </c>
      <c r="C17" s="2" t="s">
        <v>3</v>
      </c>
      <c r="D17" s="2">
        <v>6</v>
      </c>
      <c r="E17" s="2">
        <v>80</v>
      </c>
      <c r="F17" s="2" t="b">
        <v>1</v>
      </c>
      <c r="G17" s="2">
        <v>31130</v>
      </c>
      <c r="H17" s="2">
        <v>1400</v>
      </c>
      <c r="I17" s="2">
        <f t="shared" si="4"/>
        <v>95.502730485062642</v>
      </c>
      <c r="J17" s="2">
        <f t="shared" si="2"/>
        <v>6.2690024999999996E-2</v>
      </c>
      <c r="K17" s="2">
        <v>60.9</v>
      </c>
      <c r="L17" s="7">
        <f t="shared" si="3"/>
        <v>87.766035000000002</v>
      </c>
      <c r="M17" s="8">
        <v>144.11500000000001</v>
      </c>
      <c r="N17" s="2"/>
      <c r="O17" s="1"/>
      <c r="P17" s="1"/>
    </row>
    <row r="18" spans="1:16" x14ac:dyDescent="0.2">
      <c r="A18" s="6" t="s">
        <v>1</v>
      </c>
      <c r="B18" s="29" t="s">
        <v>18</v>
      </c>
      <c r="C18" s="2" t="s">
        <v>3</v>
      </c>
      <c r="D18" s="2">
        <v>6</v>
      </c>
      <c r="E18" s="2">
        <v>96</v>
      </c>
      <c r="F18" s="2" t="b">
        <v>1</v>
      </c>
      <c r="G18" s="2">
        <v>45330</v>
      </c>
      <c r="H18" s="2">
        <v>1310</v>
      </c>
      <c r="I18" s="2">
        <f t="shared" si="4"/>
        <v>97.110081623648796</v>
      </c>
      <c r="J18" s="2">
        <f>L18/H18</f>
        <v>7.3910763358778636E-2</v>
      </c>
      <c r="K18" s="2">
        <v>55</v>
      </c>
      <c r="L18" s="7">
        <f t="shared" si="3"/>
        <v>96.823100000000011</v>
      </c>
      <c r="M18" s="8">
        <v>176.042</v>
      </c>
      <c r="N18" s="2"/>
      <c r="O18" s="1"/>
      <c r="P18" s="1"/>
    </row>
    <row r="19" spans="1:16" x14ac:dyDescent="0.2">
      <c r="A19" s="6" t="s">
        <v>1</v>
      </c>
      <c r="B19" s="29" t="s">
        <v>18</v>
      </c>
      <c r="C19" s="2" t="s">
        <v>3</v>
      </c>
      <c r="D19" s="2">
        <v>6</v>
      </c>
      <c r="E19" s="2">
        <v>128</v>
      </c>
      <c r="F19" s="2" t="b">
        <v>1</v>
      </c>
      <c r="G19" s="2">
        <v>79110</v>
      </c>
      <c r="H19" s="2">
        <v>1560</v>
      </c>
      <c r="I19" s="2">
        <f t="shared" si="4"/>
        <v>98.028062191884715</v>
      </c>
      <c r="J19" s="2">
        <f t="shared" si="2"/>
        <v>9.0820515384615386E-2</v>
      </c>
      <c r="K19" s="2">
        <v>49.8</v>
      </c>
      <c r="L19" s="7">
        <f t="shared" ref="L19:L24" si="5">M19 * (K19/100)</f>
        <v>141.680004</v>
      </c>
      <c r="M19" s="8">
        <v>284.49799999999999</v>
      </c>
      <c r="N19" s="2"/>
      <c r="O19" s="1"/>
      <c r="P19" s="1"/>
    </row>
    <row r="20" spans="1:16" x14ac:dyDescent="0.2">
      <c r="A20" s="6" t="s">
        <v>1</v>
      </c>
      <c r="B20" s="29" t="s">
        <v>18</v>
      </c>
      <c r="C20" s="2" t="s">
        <v>3</v>
      </c>
      <c r="D20" s="2">
        <v>6</v>
      </c>
      <c r="E20" s="2">
        <v>160</v>
      </c>
      <c r="F20" s="2" t="b">
        <v>1</v>
      </c>
      <c r="G20" s="2">
        <v>126270</v>
      </c>
      <c r="H20" s="2">
        <v>1670</v>
      </c>
      <c r="I20" s="2">
        <f t="shared" si="4"/>
        <v>98.677437237665316</v>
      </c>
      <c r="J20" s="2">
        <f t="shared" si="2"/>
        <v>0.11344182814371258</v>
      </c>
      <c r="K20" s="2">
        <v>47.9</v>
      </c>
      <c r="L20" s="7">
        <f t="shared" si="5"/>
        <v>189.44785300000001</v>
      </c>
      <c r="M20" s="8">
        <v>395.50700000000001</v>
      </c>
      <c r="N20" s="2"/>
      <c r="O20" s="1"/>
      <c r="P20" s="1"/>
    </row>
    <row r="21" spans="1:16" x14ac:dyDescent="0.2">
      <c r="A21" s="6" t="s">
        <v>1</v>
      </c>
      <c r="B21" s="29" t="s">
        <v>18</v>
      </c>
      <c r="C21" s="2" t="s">
        <v>3</v>
      </c>
      <c r="D21" s="2">
        <v>6</v>
      </c>
      <c r="E21" s="2">
        <v>192</v>
      </c>
      <c r="F21" s="2" t="b">
        <v>1</v>
      </c>
      <c r="G21" s="2">
        <v>182730</v>
      </c>
      <c r="H21" s="2">
        <v>1740</v>
      </c>
      <c r="I21" s="2">
        <f t="shared" si="4"/>
        <v>99.047775406337223</v>
      </c>
      <c r="J21" s="2">
        <f t="shared" si="2"/>
        <v>0.13347204597701148</v>
      </c>
      <c r="K21" s="2">
        <v>42.8</v>
      </c>
      <c r="L21" s="7">
        <f t="shared" si="5"/>
        <v>232.24135999999999</v>
      </c>
      <c r="M21" s="8">
        <v>542.62</v>
      </c>
      <c r="N21" s="2"/>
      <c r="O21" s="1"/>
      <c r="P21" s="1"/>
    </row>
    <row r="22" spans="1:16" x14ac:dyDescent="0.2">
      <c r="A22" s="6" t="s">
        <v>1</v>
      </c>
      <c r="B22" s="29" t="s">
        <v>18</v>
      </c>
      <c r="C22" s="2" t="s">
        <v>3</v>
      </c>
      <c r="D22" s="2">
        <v>6</v>
      </c>
      <c r="E22" s="2">
        <v>224</v>
      </c>
      <c r="F22" s="2" t="b">
        <v>1</v>
      </c>
      <c r="G22" s="2">
        <v>248520</v>
      </c>
      <c r="H22" s="2">
        <v>1680</v>
      </c>
      <c r="I22" s="2">
        <f t="shared" si="4"/>
        <v>99.323998068565913</v>
      </c>
      <c r="J22" s="2">
        <f t="shared" si="2"/>
        <v>0.18878463333333334</v>
      </c>
      <c r="K22" s="2">
        <v>43.9</v>
      </c>
      <c r="L22" s="7">
        <f t="shared" si="5"/>
        <v>317.15818400000001</v>
      </c>
      <c r="M22" s="8">
        <v>722.45600000000002</v>
      </c>
      <c r="N22" s="2"/>
      <c r="O22" s="1"/>
      <c r="P22" s="1"/>
    </row>
    <row r="23" spans="1:16" x14ac:dyDescent="0.2">
      <c r="A23" s="6" t="s">
        <v>1</v>
      </c>
      <c r="B23" s="29" t="s">
        <v>18</v>
      </c>
      <c r="C23" s="2" t="s">
        <v>3</v>
      </c>
      <c r="D23" s="2">
        <v>6</v>
      </c>
      <c r="E23" s="2">
        <v>256</v>
      </c>
      <c r="F23" s="2" t="b">
        <v>1</v>
      </c>
      <c r="G23" s="2">
        <v>325520</v>
      </c>
      <c r="H23" s="2">
        <v>1780</v>
      </c>
      <c r="I23" s="2">
        <f t="shared" si="4"/>
        <v>99.453182600147457</v>
      </c>
      <c r="J23" s="2">
        <f>L23/H23</f>
        <v>0.19939565730337078</v>
      </c>
      <c r="K23" s="2">
        <v>41.4</v>
      </c>
      <c r="L23" s="7">
        <f t="shared" si="5"/>
        <v>354.92426999999998</v>
      </c>
      <c r="M23" s="8">
        <v>857.30499999999995</v>
      </c>
      <c r="N23" s="2"/>
      <c r="O23" s="1"/>
      <c r="P23" s="1"/>
    </row>
    <row r="24" spans="1:16" x14ac:dyDescent="0.2">
      <c r="A24" s="6" t="s">
        <v>1</v>
      </c>
      <c r="B24" s="29" t="s">
        <v>18</v>
      </c>
      <c r="C24" s="2" t="s">
        <v>3</v>
      </c>
      <c r="D24" s="2">
        <v>6</v>
      </c>
      <c r="E24" s="2">
        <v>320</v>
      </c>
      <c r="F24" s="2" t="b">
        <v>1</v>
      </c>
      <c r="G24" s="2">
        <v>508500</v>
      </c>
      <c r="H24" s="2">
        <v>2040</v>
      </c>
      <c r="I24" s="2">
        <f t="shared" si="4"/>
        <v>99.598820058997049</v>
      </c>
      <c r="J24" s="2">
        <f>L24/H24</f>
        <v>0.25355399999999995</v>
      </c>
      <c r="K24" s="2">
        <v>40.799999999999997</v>
      </c>
      <c r="L24" s="7">
        <f t="shared" si="5"/>
        <v>517.25015999999994</v>
      </c>
      <c r="M24" s="8">
        <v>1267.77</v>
      </c>
      <c r="N24" s="2"/>
      <c r="O24" s="1"/>
      <c r="P24" s="1"/>
    </row>
    <row r="25" spans="1:16" x14ac:dyDescent="0.2">
      <c r="A25" s="6"/>
      <c r="B25" s="29"/>
      <c r="C25" s="2"/>
      <c r="D25" s="2"/>
      <c r="E25" s="2"/>
      <c r="F25" s="2"/>
      <c r="G25" s="2"/>
      <c r="H25" s="2"/>
      <c r="I25" s="2"/>
      <c r="J25" s="2"/>
      <c r="K25" s="2"/>
      <c r="L25" s="7"/>
      <c r="M25" s="8"/>
      <c r="N25" s="2"/>
      <c r="O25" s="1"/>
      <c r="P25" s="1"/>
    </row>
    <row r="26" spans="1:16" x14ac:dyDescent="0.2">
      <c r="A26" s="6"/>
      <c r="B26" s="29"/>
      <c r="C26" s="2"/>
      <c r="D26" s="2"/>
      <c r="E26" s="2"/>
      <c r="F26" s="2"/>
      <c r="G26" s="2"/>
      <c r="H26" s="2"/>
      <c r="I26" s="2"/>
      <c r="J26" s="2"/>
      <c r="K26" s="2"/>
      <c r="L26" s="7"/>
      <c r="M26" s="8"/>
      <c r="N26" s="2"/>
      <c r="O26" s="1"/>
      <c r="P26" s="1"/>
    </row>
    <row r="27" spans="1:16" ht="15" thickBot="1" x14ac:dyDescent="0.25">
      <c r="A27" s="6"/>
      <c r="B27" s="29"/>
      <c r="C27" s="2"/>
      <c r="D27" s="2"/>
      <c r="E27" s="2"/>
      <c r="F27" s="2"/>
      <c r="G27" s="2"/>
      <c r="H27" s="2"/>
      <c r="I27" s="2"/>
      <c r="J27" s="2"/>
      <c r="K27" s="2"/>
      <c r="L27" s="7"/>
      <c r="M27" s="8"/>
      <c r="N27" s="2"/>
      <c r="O27" s="1"/>
      <c r="P27" s="1"/>
    </row>
    <row r="28" spans="1:16" x14ac:dyDescent="0.2">
      <c r="A28" s="9" t="s">
        <v>1</v>
      </c>
      <c r="B28" s="30"/>
      <c r="C28" s="10" t="s">
        <v>3</v>
      </c>
      <c r="D28" s="10">
        <v>6</v>
      </c>
      <c r="E28" s="10">
        <v>32</v>
      </c>
      <c r="F28" s="10" t="b">
        <v>1</v>
      </c>
      <c r="G28" s="10">
        <v>4900</v>
      </c>
      <c r="H28" s="10">
        <v>760</v>
      </c>
      <c r="I28" s="10">
        <f>(1-(H28/G28) )*100</f>
        <v>84.489795918367349</v>
      </c>
      <c r="J28" s="10">
        <f t="shared" ref="J28:J34" si="6">L28/H28</f>
        <v>4.3774681973684212E-2</v>
      </c>
      <c r="K28" s="10">
        <v>65.900000000000006</v>
      </c>
      <c r="L28" s="11">
        <f t="shared" ref="L28:L34" si="7">M28 * (K28/100)</f>
        <v>33.268758300000002</v>
      </c>
      <c r="M28" s="12">
        <v>50.483699999999999</v>
      </c>
      <c r="O28" s="17" t="s">
        <v>15</v>
      </c>
      <c r="P28" s="18"/>
    </row>
    <row r="29" spans="1:16" x14ac:dyDescent="0.2">
      <c r="A29" s="9" t="s">
        <v>1</v>
      </c>
      <c r="B29" s="30"/>
      <c r="C29" s="10" t="s">
        <v>3</v>
      </c>
      <c r="D29" s="10">
        <v>6</v>
      </c>
      <c r="E29" s="10">
        <v>48</v>
      </c>
      <c r="F29" s="10" t="b">
        <v>1</v>
      </c>
      <c r="G29" s="10">
        <v>11120</v>
      </c>
      <c r="H29" s="10">
        <v>1060</v>
      </c>
      <c r="I29" s="10">
        <f t="shared" ref="I29:I34" si="8">(1-(H29/G29) )*100</f>
        <v>90.467625899280577</v>
      </c>
      <c r="J29" s="10">
        <f t="shared" si="6"/>
        <v>4.2189716509433962E-2</v>
      </c>
      <c r="K29" s="10">
        <v>53.9</v>
      </c>
      <c r="L29" s="11">
        <f t="shared" si="7"/>
        <v>44.721099500000001</v>
      </c>
      <c r="M29" s="12">
        <v>82.970500000000001</v>
      </c>
      <c r="O29" s="19"/>
      <c r="P29" s="20"/>
    </row>
    <row r="30" spans="1:16" ht="15" thickBot="1" x14ac:dyDescent="0.25">
      <c r="A30" s="9" t="s">
        <v>1</v>
      </c>
      <c r="B30" s="30"/>
      <c r="C30" s="10" t="s">
        <v>3</v>
      </c>
      <c r="D30" s="10">
        <v>6</v>
      </c>
      <c r="E30" s="10">
        <v>64</v>
      </c>
      <c r="F30" s="10" t="b">
        <v>1</v>
      </c>
      <c r="G30" s="10">
        <v>19910</v>
      </c>
      <c r="H30" s="10">
        <v>1280</v>
      </c>
      <c r="I30" s="10">
        <f t="shared" si="8"/>
        <v>93.571069814163735</v>
      </c>
      <c r="J30" s="10">
        <f t="shared" si="6"/>
        <v>4.2432173437499998E-2</v>
      </c>
      <c r="K30" s="10">
        <v>44.7</v>
      </c>
      <c r="L30" s="11">
        <f t="shared" si="7"/>
        <v>54.313181999999998</v>
      </c>
      <c r="M30" s="12">
        <v>121.506</v>
      </c>
      <c r="O30" s="21"/>
      <c r="P30" s="22"/>
    </row>
    <row r="31" spans="1:16" x14ac:dyDescent="0.2">
      <c r="A31" s="9" t="s">
        <v>1</v>
      </c>
      <c r="B31" s="30"/>
      <c r="C31" s="10" t="s">
        <v>3</v>
      </c>
      <c r="D31" s="10">
        <v>6</v>
      </c>
      <c r="E31" s="10">
        <v>80</v>
      </c>
      <c r="F31" s="10" t="b">
        <v>1</v>
      </c>
      <c r="G31" s="10">
        <v>31130</v>
      </c>
      <c r="H31" s="10">
        <v>1400</v>
      </c>
      <c r="I31" s="10">
        <f t="shared" si="8"/>
        <v>95.502730485062642</v>
      </c>
      <c r="J31" s="10">
        <f t="shared" si="6"/>
        <v>4.1894451428571435E-2</v>
      </c>
      <c r="K31" s="10">
        <v>36.6</v>
      </c>
      <c r="L31" s="11">
        <f t="shared" si="7"/>
        <v>58.652232000000005</v>
      </c>
      <c r="M31" s="12">
        <v>160.25200000000001</v>
      </c>
      <c r="O31" s="1"/>
      <c r="P31" s="1"/>
    </row>
    <row r="32" spans="1:16" x14ac:dyDescent="0.2">
      <c r="A32" s="9" t="s">
        <v>1</v>
      </c>
      <c r="B32" s="30"/>
      <c r="C32" s="10" t="s">
        <v>3</v>
      </c>
      <c r="D32" s="10">
        <v>6</v>
      </c>
      <c r="E32" s="10">
        <v>96</v>
      </c>
      <c r="F32" s="10" t="b">
        <v>1</v>
      </c>
      <c r="G32" s="10">
        <v>45330</v>
      </c>
      <c r="H32" s="10">
        <v>1310</v>
      </c>
      <c r="I32" s="10">
        <f t="shared" si="8"/>
        <v>97.110081623648796</v>
      </c>
      <c r="J32" s="10">
        <f t="shared" si="6"/>
        <v>4.1735651908396953E-2</v>
      </c>
      <c r="K32" s="10">
        <v>27.8</v>
      </c>
      <c r="L32" s="11">
        <f t="shared" si="7"/>
        <v>54.673704000000008</v>
      </c>
      <c r="M32" s="12">
        <v>196.66800000000001</v>
      </c>
      <c r="O32" s="1"/>
      <c r="P32" s="1"/>
    </row>
    <row r="33" spans="1:16" x14ac:dyDescent="0.2">
      <c r="A33" s="9" t="s">
        <v>1</v>
      </c>
      <c r="B33" s="30"/>
      <c r="C33" s="10" t="s">
        <v>3</v>
      </c>
      <c r="D33" s="10">
        <v>6</v>
      </c>
      <c r="E33" s="10">
        <v>128</v>
      </c>
      <c r="F33" s="10" t="b">
        <v>1</v>
      </c>
      <c r="G33" s="10">
        <v>79110</v>
      </c>
      <c r="H33" s="10">
        <v>1560</v>
      </c>
      <c r="I33" s="10">
        <f t="shared" si="8"/>
        <v>98.028062191884715</v>
      </c>
      <c r="J33" s="10">
        <f t="shared" si="6"/>
        <v>4.302305192307692E-2</v>
      </c>
      <c r="K33" s="10">
        <v>20.9</v>
      </c>
      <c r="L33" s="11">
        <f t="shared" si="7"/>
        <v>67.115960999999999</v>
      </c>
      <c r="M33" s="12">
        <v>321.12900000000002</v>
      </c>
      <c r="O33" s="1"/>
      <c r="P33" s="1"/>
    </row>
    <row r="34" spans="1:16" x14ac:dyDescent="0.2">
      <c r="A34" s="13" t="s">
        <v>1</v>
      </c>
      <c r="B34" s="14"/>
      <c r="C34" s="14" t="s">
        <v>3</v>
      </c>
      <c r="D34" s="14">
        <v>6</v>
      </c>
      <c r="E34" s="14">
        <v>160</v>
      </c>
      <c r="F34" s="14" t="b">
        <v>1</v>
      </c>
      <c r="G34" s="14">
        <v>126270</v>
      </c>
      <c r="H34" s="14">
        <v>1670</v>
      </c>
      <c r="I34" s="14">
        <f t="shared" si="8"/>
        <v>98.677437237665316</v>
      </c>
      <c r="J34" s="14">
        <f t="shared" si="6"/>
        <v>4.2099691017964069E-2</v>
      </c>
      <c r="K34" s="14">
        <v>15.7</v>
      </c>
      <c r="L34" s="15">
        <f t="shared" si="7"/>
        <v>70.306483999999998</v>
      </c>
      <c r="M34" s="16">
        <v>447.81200000000001</v>
      </c>
      <c r="O34" s="1"/>
      <c r="P34" s="1"/>
    </row>
    <row r="35" spans="1:16" x14ac:dyDescent="0.2">
      <c r="O35" s="1"/>
      <c r="P35" s="1"/>
    </row>
    <row r="36" spans="1:16" x14ac:dyDescent="0.2">
      <c r="O36" s="1"/>
      <c r="P36" s="1"/>
    </row>
    <row r="37" spans="1:16" x14ac:dyDescent="0.2">
      <c r="O37" s="1"/>
      <c r="P37" s="1"/>
    </row>
    <row r="38" spans="1:16" x14ac:dyDescent="0.2">
      <c r="O38" s="1"/>
      <c r="P38" s="1"/>
    </row>
  </sheetData>
  <mergeCells count="3">
    <mergeCell ref="O1:P3"/>
    <mergeCell ref="O14:P16"/>
    <mergeCell ref="O28:P3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Yifu Wei</dc:creator>
  <cp:lastModifiedBy>逸夫 卫</cp:lastModifiedBy>
  <dcterms:created xsi:type="dcterms:W3CDTF">2015-06-05T18:17:20Z</dcterms:created>
  <dcterms:modified xsi:type="dcterms:W3CDTF">2025-09-12T07:46:51Z</dcterms:modified>
</cp:coreProperties>
</file>